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lexandresepulvedadedietrich/Code/Zeit/"/>
    </mc:Choice>
  </mc:AlternateContent>
  <xr:revisionPtr revIDLastSave="0" documentId="13_ncr:1_{25394C9A-72DA-244C-B136-24A162B94811}" xr6:coauthVersionLast="47" xr6:coauthVersionMax="47" xr10:uidLastSave="{00000000-0000-0000-0000-000000000000}"/>
  <bookViews>
    <workbookView xWindow="1680" yWindow="500" windowWidth="30240" windowHeight="17180" activeTab="7" xr2:uid="{00000000-000D-0000-FFFF-FFFF00000000}"/>
  </bookViews>
  <sheets>
    <sheet name="Overview" sheetId="1" r:id="rId1"/>
    <sheet name="Timeline &amp; Milestones" sheetId="2" r:id="rId2"/>
    <sheet name="Deliverables" sheetId="3" r:id="rId3"/>
    <sheet name="Risk Register" sheetId="4" r:id="rId4"/>
    <sheet name="Quality &amp; Performance" sheetId="5" r:id="rId5"/>
    <sheet name="Backlog &amp; Next Up" sheetId="6" r:id="rId6"/>
    <sheet name="Retro &amp; Decisions" sheetId="7" r:id="rId7"/>
    <sheet name="Requirements -&gt; Test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D5" i="5"/>
  <c r="D4" i="5"/>
  <c r="D3" i="5"/>
  <c r="D2" i="5"/>
  <c r="D6" i="4"/>
  <c r="D5" i="4"/>
  <c r="D4" i="4"/>
  <c r="D3" i="4"/>
  <c r="D2" i="4"/>
  <c r="B19" i="1"/>
  <c r="C19" i="1" s="1"/>
  <c r="B18" i="1"/>
  <c r="C18" i="1" s="1"/>
  <c r="B17" i="1"/>
  <c r="C17" i="1" s="1"/>
  <c r="B16" i="1"/>
  <c r="C16" i="1" s="1"/>
  <c r="B15" i="1"/>
  <c r="C15" i="1" s="1"/>
  <c r="B14" i="1"/>
  <c r="C14" i="1" s="1"/>
  <c r="B13" i="1"/>
  <c r="C13" i="1" s="1"/>
  <c r="B12" i="1"/>
  <c r="C12" i="1" s="1"/>
  <c r="B8" i="1"/>
  <c r="B7" i="1"/>
  <c r="B6" i="1"/>
  <c r="B5" i="1"/>
  <c r="B4" i="1"/>
</calcChain>
</file>

<file path=xl/sharedStrings.xml><?xml version="1.0" encoding="utf-8"?>
<sst xmlns="http://schemas.openxmlformats.org/spreadsheetml/2006/main" count="326" uniqueCount="185">
  <si>
    <t>Zeit Project Management Dashboard</t>
  </si>
  <si>
    <t>Metric</t>
  </si>
  <si>
    <t>Value</t>
  </si>
  <si>
    <t>Total Deliverables</t>
  </si>
  <si>
    <t>Completed Deliverables</t>
  </si>
  <si>
    <t>Average Completion</t>
  </si>
  <si>
    <t>Open Risks</t>
  </si>
  <si>
    <t>Highest Severity</t>
  </si>
  <si>
    <t>Sprint</t>
  </si>
  <si>
    <t>Start Date</t>
  </si>
  <si>
    <t>End Date</t>
  </si>
  <si>
    <t>Theme</t>
  </si>
  <si>
    <t>Status</t>
  </si>
  <si>
    <t>Deliverables</t>
  </si>
  <si>
    <t>Acceptance Met?</t>
  </si>
  <si>
    <t>Comments</t>
  </si>
  <si>
    <t>0</t>
  </si>
  <si>
    <t>2025-10-07</t>
  </si>
  <si>
    <t>2025-10-10</t>
  </si>
  <si>
    <t>Bootstrap</t>
  </si>
  <si>
    <t>Repo, FastAPI skeleton, SQLAlchemy models, Alembic migration, seed script</t>
  </si>
  <si>
    <t>1</t>
  </si>
  <si>
    <t>2025-10-13</t>
  </si>
  <si>
    <t>2025-10-24</t>
  </si>
  <si>
    <t>CRUD &amp; TZ &amp; Export</t>
  </si>
  <si>
    <t>In Progress</t>
  </si>
  <si>
    <t>CRUD for Tasks/Events; time-zone; /plan/ics export</t>
  </si>
  <si>
    <t>2</t>
  </si>
  <si>
    <t>2025-10-27</t>
  </si>
  <si>
    <t>2025-11-07</t>
  </si>
  <si>
    <t>CP-SAT v1</t>
  </si>
  <si>
    <t>Not Started</t>
  </si>
  <si>
    <t>CP-SAT v1: tasks + events + sleep + splits + due penalties</t>
  </si>
  <si>
    <t>3</t>
  </si>
  <si>
    <t>2025-11-10</t>
  </si>
  <si>
    <t>2025-11-21</t>
  </si>
  <si>
    <t>Planner &amp; Locks</t>
  </si>
  <si>
    <t>Planner calendar writer; locks; minimal UI; stability penalty</t>
  </si>
  <si>
    <t>4</t>
  </si>
  <si>
    <t>2025-11-24</t>
  </si>
  <si>
    <t>2025-12-05</t>
  </si>
  <si>
    <t>Travel &amp; QA</t>
  </si>
  <si>
    <t>Travel pseudo-events; performance; property tests; polish</t>
  </si>
  <si>
    <t>5</t>
  </si>
  <si>
    <t>2025-12-08</t>
  </si>
  <si>
    <t>2025-12-19</t>
  </si>
  <si>
    <t>MVP 2 Intake</t>
  </si>
  <si>
    <t>Gmail label-scoped parser; Canvas assignments; review queue; audit log</t>
  </si>
  <si>
    <t>6</t>
  </si>
  <si>
    <t>2026-01-05</t>
  </si>
  <si>
    <t>2026-01-16</t>
  </si>
  <si>
    <t>MVP 3 Adaptive Daily</t>
  </si>
  <si>
    <t>Daily plan view; rollover; actuals logging; category-level calibration</t>
  </si>
  <si>
    <t>7</t>
  </si>
  <si>
    <t>2026-01-19</t>
  </si>
  <si>
    <t>2026-01-30</t>
  </si>
  <si>
    <t>MVP 4 Integrations</t>
  </si>
  <si>
    <t>Sync with a single to-do app; dedupe &amp; change-source rules</t>
  </si>
  <si>
    <t>Feature</t>
  </si>
  <si>
    <t>Deliverable</t>
  </si>
  <si>
    <t>Acceptance Criteria</t>
  </si>
  <si>
    <t>Owner</t>
  </si>
  <si>
    <t>Completion</t>
  </si>
  <si>
    <t>Repo setup</t>
  </si>
  <si>
    <t>App boots locally; can list/insert tasks &amp; events; unit test scaffold in place</t>
  </si>
  <si>
    <t>Alexandre</t>
  </si>
  <si>
    <t>FastAPI skeleton</t>
  </si>
  <si>
    <t>SQLAlchemy models</t>
  </si>
  <si>
    <t>Alembic migration</t>
  </si>
  <si>
    <t>Seed script</t>
  </si>
  <si>
    <t>Data &amp; Export</t>
  </si>
  <si>
    <t>CRUD APIs</t>
  </si>
  <si>
    <t>Seeded week exports to .ics; imports cleanly into Google Calendar</t>
  </si>
  <si>
    <t>Timezone-safe utils</t>
  </si>
  <si>
    <t>ICS export</t>
  </si>
  <si>
    <t>Interval model</t>
  </si>
  <si>
    <t>Solve &lt;= 10 sec; no overlap; hard due dates respected</t>
  </si>
  <si>
    <t>Tardiness penalty</t>
  </si>
  <si>
    <t>Planner calendar writer</t>
  </si>
  <si>
    <t>Plan appears on separate calendar; locking respected on replan</t>
  </si>
  <si>
    <t>Lock mechanism</t>
  </si>
  <si>
    <t>Minimal UI</t>
  </si>
  <si>
    <t>Travel pseudo-events</t>
  </si>
  <si>
    <t>Cross-location events automatically inject travel buffers; property tests pass</t>
  </si>
  <si>
    <t>Performance logging</t>
  </si>
  <si>
    <t>Objective tuning</t>
  </si>
  <si>
    <t>Gmail label parser</t>
  </si>
  <si>
    <t>New assignment/email generates proposed task with parsed title &amp; due date</t>
  </si>
  <si>
    <t>Canvas assignments</t>
  </si>
  <si>
    <t>Review queue</t>
  </si>
  <si>
    <t>Daily plan view</t>
  </si>
  <si>
    <t>Skipped blocks auto-reschedule; estimates converge after logs</t>
  </si>
  <si>
    <t>Rollover mechanism</t>
  </si>
  <si>
    <t>Actuals logging</t>
  </si>
  <si>
    <t>To-do app sync</t>
  </si>
  <si>
    <t>Tasks sync both ways without duplicates</t>
  </si>
  <si>
    <t>Dedupe rules</t>
  </si>
  <si>
    <t>Change-source rules</t>
  </si>
  <si>
    <t>Risk</t>
  </si>
  <si>
    <t>Probability (1-5)</t>
  </si>
  <si>
    <t>Impact (1-5)</t>
  </si>
  <si>
    <t>Severity</t>
  </si>
  <si>
    <t>Mitigation</t>
  </si>
  <si>
    <t>NP-hard scheduling → slow solves</t>
  </si>
  <si>
    <t>Cap horizon; 15-min ticks; ≤2 splits; 10s timeout; greedy fallback</t>
  </si>
  <si>
    <t>Open</t>
  </si>
  <si>
    <t>Bad duration estimates</t>
  </si>
  <si>
    <t>Log actuals; apply category correction factors</t>
  </si>
  <si>
    <t>User trust (calendar thrash)</t>
  </si>
  <si>
    <t>Separate Planner calendar; locks; stability penalty; explainers</t>
  </si>
  <si>
    <t>Noisy email parsing</t>
  </si>
  <si>
    <t>Label-scoped read + review queue; explicit allow/deny rules</t>
  </si>
  <si>
    <t>Travel realism</t>
  </si>
  <si>
    <t>Pseudo-events in MVP 1; real distance matrix in Phase 2</t>
  </si>
  <si>
    <t>Target</t>
  </si>
  <si>
    <t>Actual</t>
  </si>
  <si>
    <t>Variance</t>
  </si>
  <si>
    <t>Notes</t>
  </si>
  <si>
    <t>On-time completion rate</t>
  </si>
  <si>
    <t>Target 90% of tasks completed by due date</t>
  </si>
  <si>
    <t>Average lateness (minutes)</t>
  </si>
  <si>
    <t>Aim for zero lateness</t>
  </si>
  <si>
    <t>Plan generation time (s)</t>
  </si>
  <si>
    <t>Solve within 10 seconds for a 7-day horizon</t>
  </si>
  <si>
    <t>User-initiated edits after plan (delta %)</t>
  </si>
  <si>
    <t>Decrease edits by 30% by week 3</t>
  </si>
  <si>
    <t>Tests passing rate</t>
  </si>
  <si>
    <t>Aim for at least 95% of tests passing</t>
  </si>
  <si>
    <t>Task</t>
  </si>
  <si>
    <t>Priority</t>
  </si>
  <si>
    <t>Sprint Target</t>
  </si>
  <si>
    <t>ETA</t>
  </si>
  <si>
    <t>Blocked?</t>
  </si>
  <si>
    <t>Task form with duration/due/priority/category/location</t>
  </si>
  <si>
    <t>High</t>
  </si>
  <si>
    <t>No</t>
  </si>
  <si>
    <t>Core data structure</t>
  </si>
  <si>
    <t>Sleep window settings (per day type)</t>
  </si>
  <si>
    <t>Configure rest periods</t>
  </si>
  <si>
    <t>CP-SAT v1 + greedy fallback</t>
  </si>
  <si>
    <t>Combine CP-SAT model with fallback</t>
  </si>
  <si>
    <t>Planner calendar write toggle</t>
  </si>
  <si>
    <t>Medium</t>
  </si>
  <si>
    <t>Toggle to enable/disable Planner calendar write</t>
  </si>
  <si>
    <t>Lock interactions + stability penalty</t>
  </si>
  <si>
    <t>Respect locks on replans; add stability penalty</t>
  </si>
  <si>
    <t>Travel pseudo-events (configurable defaults)</t>
  </si>
  <si>
    <t>Pseudo events for travel buffers</t>
  </si>
  <si>
    <t>Review queue (MVP 2)</t>
  </si>
  <si>
    <t>Low</t>
  </si>
  <si>
    <t>List of incoming tasks for human review</t>
  </si>
  <si>
    <t>Daily suggestions + rollover (MVP 3)</t>
  </si>
  <si>
    <t>Suggest tasks daily and roll over unfinished ones</t>
  </si>
  <si>
    <t>To-do sync (MVP 4)</t>
  </si>
  <si>
    <t>Integrate with external to-do app</t>
  </si>
  <si>
    <t>Rules to deduplicate tasks across systems</t>
  </si>
  <si>
    <t>Date</t>
  </si>
  <si>
    <t>Stop (What to stop)</t>
  </si>
  <si>
    <t>Start</t>
  </si>
  <si>
    <t>Continue</t>
  </si>
  <si>
    <t>Key Decisions</t>
  </si>
  <si>
    <t>Gate (Go/No-Go)</t>
  </si>
  <si>
    <t>Business Need</t>
  </si>
  <si>
    <t>Model Element</t>
  </si>
  <si>
    <t>Test Name</t>
  </si>
  <si>
    <t>Result (Pass/Fail)</t>
  </si>
  <si>
    <t>Link to File</t>
  </si>
  <si>
    <t>Respect fixed events</t>
  </si>
  <si>
    <t>Hard IntervalVar; AddNoOverlap</t>
  </si>
  <si>
    <t>No overlaps with fixed intervals</t>
  </si>
  <si>
    <t>Meet due dates</t>
  </si>
  <si>
    <t>Tardiness var; Hard due if flagged</t>
  </si>
  <si>
    <t>Hard due never violated; Soft due penalized</t>
  </si>
  <si>
    <t>Limit fragmentation</t>
  </si>
  <si>
    <t>Max splits; split penalty</t>
  </si>
  <si>
    <t>splits_t ≤ 2; penalty reduces splits</t>
  </si>
  <si>
    <t>Sleep &amp; rest</t>
  </si>
  <si>
    <t>Hard forbidden window intervals</t>
  </si>
  <si>
    <t>No block placed in sleep windows</t>
  </si>
  <si>
    <t>Travel feasibility</t>
  </si>
  <si>
    <t>Pseudo travel blocks</t>
  </si>
  <si>
    <t>Travel blocks exist when locations differ</t>
  </si>
  <si>
    <t>Stability across replans</t>
  </si>
  <si>
    <t>Start-deviation penalty; locks</t>
  </si>
  <si>
    <t>Lower churn between plans; Locked blocks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</si>
</sst>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9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5"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Completion by Sprint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Overview!$C$11</c:f>
              <c:strCache>
                <c:ptCount val="1"/>
                <c:pt idx="0">
                  <c:v>Average Completion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Overview!$A$12:$A$19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cat>
          <c:val>
            <c:numRef>
              <c:f>Overview!$C$12:$C$19</c:f>
              <c:numCache>
                <c:formatCode>0%</c:formatCode>
                <c:ptCount val="8"/>
                <c:pt idx="0">
                  <c:v>0.35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F-7448-9123-E480FD4D3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Completion (%)</a:t>
                </a:r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A872E-7231-A849-8701-994DEE78B686}" name="Table1" displayName="Table1" ref="A3:B8" totalsRowShown="0" headerRowDxfId="3">
  <autoFilter ref="A3:B8" xr:uid="{50AA872E-7231-A849-8701-994DEE78B686}"/>
  <tableColumns count="2">
    <tableColumn id="1" xr3:uid="{94D034F9-8FFA-1F49-B08D-735459A419CE}" name="Metric"/>
    <tableColumn id="2" xr3:uid="{C91A1CDD-9ACB-7B44-8E87-2747DC552455}" name="Value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40442D-2A3D-AB4E-8323-755FDE817A1C}" name="Table2" displayName="Table2" ref="A11:C19" totalsRowShown="0" headerRowDxfId="1">
  <autoFilter ref="A11:C19" xr:uid="{0140442D-2A3D-AB4E-8323-755FDE817A1C}"/>
  <tableColumns count="3">
    <tableColumn id="1" xr3:uid="{1B6E52EB-5C36-4C4E-B1CF-8DEC8AFB0A78}" name="Sprint"/>
    <tableColumn id="2" xr3:uid="{E60BF755-2813-734A-BB31-4ABBB294DA42}" name="Total Deliverables">
      <calculatedColumnFormula>COUNTIF(Deliverables!A:A,A12)</calculatedColumnFormula>
    </tableColumn>
    <tableColumn id="3" xr3:uid="{DEAD4398-9B68-9E4E-BC9C-81D6645D7C41}" name="Average Completion" dataDxfId="2">
      <calculatedColumnFormula>IF(B12=0,0,AVERAGEIF(Deliverables!A:A,A12,Deliverables!F:F))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73AD7B-E0D5-0843-8BC5-42C2A52F853C}" name="Table4" displayName="Table4" ref="A1:H9" totalsRowShown="0">
  <autoFilter ref="A1:H9" xr:uid="{2573AD7B-E0D5-0843-8BC5-42C2A52F853C}"/>
  <tableColumns count="8">
    <tableColumn id="1" xr3:uid="{2B505659-7464-D348-B8B9-FCD210FE2C1C}" name="Sprint"/>
    <tableColumn id="2" xr3:uid="{086D0EFD-6CB4-8548-8F6F-A60C34719CA6}" name="Start Date"/>
    <tableColumn id="3" xr3:uid="{FB3F14BE-66D9-0547-8F9B-6C43D2F30A0F}" name="End Date"/>
    <tableColumn id="4" xr3:uid="{7601939A-1292-D745-9E52-A56E1E79BE8E}" name="Theme"/>
    <tableColumn id="5" xr3:uid="{6C220A04-E934-AE41-B224-BE29A48B93FE}" name="Status"/>
    <tableColumn id="6" xr3:uid="{6B2C9052-7BD6-274D-BE89-64A0A1D5C238}" name="Deliverables"/>
    <tableColumn id="7" xr3:uid="{2F8C0569-EBA5-F042-9466-800AB3F75140}" name="Acceptance Met?"/>
    <tableColumn id="8" xr3:uid="{79E9860D-2BD3-C740-9B1E-3E784864EFED}" name="Comments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1FF8DA-1E87-EA47-946F-DE99052242D3}" name="Table5" displayName="Table5" ref="A1:G26" totalsRowShown="0">
  <autoFilter ref="A1:G26" xr:uid="{551FF8DA-1E87-EA47-946F-DE99052242D3}"/>
  <tableColumns count="7">
    <tableColumn id="1" xr3:uid="{35F9B9B0-CA16-8A4D-B476-EDC626690FCF}" name="Sprint"/>
    <tableColumn id="2" xr3:uid="{F79C17B6-6182-524B-AB08-D09A0FE83CD5}" name="Feature"/>
    <tableColumn id="3" xr3:uid="{22BF399A-92BE-554B-8C16-371235EB2592}" name="Deliverable"/>
    <tableColumn id="4" xr3:uid="{20720B8B-92F2-9F47-B652-12D0B2BAE925}" name="Acceptance Criteria"/>
    <tableColumn id="5" xr3:uid="{BE77258C-1371-1D49-BA85-A407981EFA79}" name="Owner"/>
    <tableColumn id="6" xr3:uid="{C1A2D682-33AA-9649-86B2-A5BBF1574B16}" name="Completion" dataDxfId="0"/>
    <tableColumn id="7" xr3:uid="{5A9FDC20-008D-0C42-8465-5FCD913825FC}" name="Commen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="161" workbookViewId="0">
      <selection activeCell="C9" sqref="C9"/>
    </sheetView>
  </sheetViews>
  <sheetFormatPr baseColWidth="10" defaultColWidth="8.83203125" defaultRowHeight="15" x14ac:dyDescent="0.2"/>
  <cols>
    <col min="1" max="1" width="19.1640625" bestFit="1" customWidth="1"/>
    <col min="2" max="2" width="16" customWidth="1"/>
    <col min="3" max="3" width="18.1640625" customWidth="1"/>
  </cols>
  <sheetData>
    <row r="1" spans="1:5" ht="19" x14ac:dyDescent="0.25">
      <c r="A1" s="4" t="s">
        <v>0</v>
      </c>
      <c r="B1" s="5"/>
      <c r="C1" s="5"/>
      <c r="D1" s="5"/>
      <c r="E1" s="5"/>
    </row>
    <row r="2" spans="1:5" ht="11" customHeight="1" x14ac:dyDescent="0.25">
      <c r="A2" s="3"/>
    </row>
    <row r="3" spans="1:5" x14ac:dyDescent="0.2">
      <c r="A3" s="1" t="s">
        <v>1</v>
      </c>
      <c r="B3" s="1" t="s">
        <v>2</v>
      </c>
    </row>
    <row r="4" spans="1:5" x14ac:dyDescent="0.2">
      <c r="A4" t="s">
        <v>3</v>
      </c>
      <c r="B4" s="2">
        <f>COUNTA(Deliverables!A2:A1000)</f>
        <v>25</v>
      </c>
    </row>
    <row r="5" spans="1:5" x14ac:dyDescent="0.2">
      <c r="A5" t="s">
        <v>4</v>
      </c>
      <c r="B5" s="2">
        <f>COUNTIF(Deliverables!F2:F1000,1)</f>
        <v>1</v>
      </c>
    </row>
    <row r="6" spans="1:5" x14ac:dyDescent="0.2">
      <c r="A6" t="s">
        <v>5</v>
      </c>
      <c r="B6" s="2">
        <f>AVERAGE(Deliverables!F2:F1000)</f>
        <v>7.0000000000000007E-2</v>
      </c>
    </row>
    <row r="7" spans="1:5" x14ac:dyDescent="0.2">
      <c r="A7" t="s">
        <v>6</v>
      </c>
      <c r="B7" s="2">
        <f>COUNTIF('Risk Register'!G2:G1000,"Open")</f>
        <v>5</v>
      </c>
    </row>
    <row r="8" spans="1:5" x14ac:dyDescent="0.2">
      <c r="A8" t="s">
        <v>7</v>
      </c>
      <c r="B8" s="2">
        <f>MAX('Risk Register'!E2:E1000)</f>
        <v>0</v>
      </c>
    </row>
    <row r="11" spans="1:5" x14ac:dyDescent="0.2">
      <c r="A11" s="6" t="s">
        <v>8</v>
      </c>
      <c r="B11" s="6" t="s">
        <v>3</v>
      </c>
      <c r="C11" s="6" t="s">
        <v>5</v>
      </c>
    </row>
    <row r="12" spans="1:5" x14ac:dyDescent="0.2">
      <c r="A12">
        <v>0</v>
      </c>
      <c r="B12">
        <f>COUNTIF(Deliverables!A:A,A12)</f>
        <v>5</v>
      </c>
      <c r="C12" s="2">
        <f>IF(B12=0,0,AVERAGEIF(Deliverables!A:A,A12,Deliverables!F:F))</f>
        <v>0.35</v>
      </c>
    </row>
    <row r="13" spans="1:5" x14ac:dyDescent="0.2">
      <c r="A13">
        <v>1</v>
      </c>
      <c r="B13">
        <f>COUNTIF(Deliverables!A:A,A13)</f>
        <v>3</v>
      </c>
      <c r="C13" s="2">
        <f>IF(B13=0,0,AVERAGEIF(Deliverables!A:A,A13,Deliverables!F:F))</f>
        <v>0</v>
      </c>
    </row>
    <row r="14" spans="1:5" x14ac:dyDescent="0.2">
      <c r="A14">
        <v>2</v>
      </c>
      <c r="B14">
        <f>COUNTIF(Deliverables!A:A,A14)</f>
        <v>2</v>
      </c>
      <c r="C14" s="2">
        <f>IF(B14=0,0,AVERAGEIF(Deliverables!A:A,A14,Deliverables!F:F))</f>
        <v>0</v>
      </c>
    </row>
    <row r="15" spans="1:5" x14ac:dyDescent="0.2">
      <c r="A15">
        <v>3</v>
      </c>
      <c r="B15">
        <f>COUNTIF(Deliverables!A:A,A15)</f>
        <v>3</v>
      </c>
      <c r="C15" s="2">
        <f>IF(B15=0,0,AVERAGEIF(Deliverables!A:A,A15,Deliverables!F:F))</f>
        <v>0</v>
      </c>
    </row>
    <row r="16" spans="1:5" x14ac:dyDescent="0.2">
      <c r="A16">
        <v>4</v>
      </c>
      <c r="B16">
        <f>COUNTIF(Deliverables!A:A,A16)</f>
        <v>3</v>
      </c>
      <c r="C16" s="2">
        <f>IF(B16=0,0,AVERAGEIF(Deliverables!A:A,A16,Deliverables!F:F))</f>
        <v>0</v>
      </c>
    </row>
    <row r="17" spans="1:3" x14ac:dyDescent="0.2">
      <c r="A17">
        <v>5</v>
      </c>
      <c r="B17">
        <f>COUNTIF(Deliverables!A:A,A17)</f>
        <v>3</v>
      </c>
      <c r="C17" s="2">
        <f>IF(B17=0,0,AVERAGEIF(Deliverables!A:A,A17,Deliverables!F:F))</f>
        <v>0</v>
      </c>
    </row>
    <row r="18" spans="1:3" x14ac:dyDescent="0.2">
      <c r="A18">
        <v>6</v>
      </c>
      <c r="B18">
        <f>COUNTIF(Deliverables!A:A,A18)</f>
        <v>3</v>
      </c>
      <c r="C18" s="2">
        <f>IF(B18=0,0,AVERAGEIF(Deliverables!A:A,A18,Deliverables!F:F))</f>
        <v>0</v>
      </c>
    </row>
    <row r="19" spans="1:3" x14ac:dyDescent="0.2">
      <c r="A19">
        <v>7</v>
      </c>
      <c r="B19">
        <f>COUNTIF(Deliverables!A:A,A19)</f>
        <v>3</v>
      </c>
      <c r="C19" s="2">
        <f>IF(B19=0,0,AVERAGEIF(Deliverables!A:A,A19,Deliverables!F:F))</f>
        <v>0</v>
      </c>
    </row>
  </sheetData>
  <mergeCells count="1">
    <mergeCell ref="A1:E1"/>
  </mergeCells>
  <pageMargins left="0.75" right="0.75" top="1" bottom="1" header="0.5" footer="0.5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opLeftCell="B1" zoomScale="138" workbookViewId="0">
      <pane ySplit="1" topLeftCell="A2" activePane="bottomLeft" state="frozen"/>
      <selection pane="bottomLeft" activeCell="F2" sqref="F2"/>
    </sheetView>
  </sheetViews>
  <sheetFormatPr baseColWidth="10" defaultColWidth="8.83203125" defaultRowHeight="15" x14ac:dyDescent="0.2"/>
  <cols>
    <col min="1" max="1" width="10" customWidth="1"/>
    <col min="2" max="3" width="12" customWidth="1"/>
    <col min="4" max="4" width="20" customWidth="1"/>
    <col min="5" max="5" width="15" customWidth="1"/>
    <col min="6" max="6" width="59.1640625" bestFit="1" customWidth="1"/>
    <col min="7" max="7" width="20" customWidth="1"/>
    <col min="8" max="8" width="30" customWidth="1"/>
  </cols>
  <sheetData>
    <row r="1" spans="1:8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">
      <c r="A2" t="s">
        <v>16</v>
      </c>
      <c r="B2" t="s">
        <v>17</v>
      </c>
      <c r="C2" t="s">
        <v>18</v>
      </c>
      <c r="D2" t="s">
        <v>19</v>
      </c>
      <c r="E2" t="s">
        <v>25</v>
      </c>
      <c r="F2" t="s">
        <v>20</v>
      </c>
    </row>
    <row r="3" spans="1:8" x14ac:dyDescent="0.2">
      <c r="A3" t="s">
        <v>21</v>
      </c>
      <c r="B3" t="s">
        <v>22</v>
      </c>
      <c r="C3" t="s">
        <v>23</v>
      </c>
      <c r="D3" t="s">
        <v>24</v>
      </c>
      <c r="E3" t="s">
        <v>31</v>
      </c>
      <c r="F3" t="s">
        <v>26</v>
      </c>
    </row>
    <row r="4" spans="1:8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</row>
    <row r="5" spans="1:8" x14ac:dyDescent="0.2">
      <c r="A5" t="s">
        <v>33</v>
      </c>
      <c r="B5" t="s">
        <v>34</v>
      </c>
      <c r="C5" t="s">
        <v>35</v>
      </c>
      <c r="D5" t="s">
        <v>36</v>
      </c>
      <c r="E5" t="s">
        <v>31</v>
      </c>
      <c r="F5" t="s">
        <v>37</v>
      </c>
    </row>
    <row r="6" spans="1:8" x14ac:dyDescent="0.2">
      <c r="A6" t="s">
        <v>38</v>
      </c>
      <c r="B6" t="s">
        <v>39</v>
      </c>
      <c r="C6" t="s">
        <v>40</v>
      </c>
      <c r="D6" t="s">
        <v>41</v>
      </c>
      <c r="E6" t="s">
        <v>31</v>
      </c>
      <c r="F6" t="s">
        <v>42</v>
      </c>
    </row>
    <row r="7" spans="1:8" x14ac:dyDescent="0.2">
      <c r="A7" t="s">
        <v>43</v>
      </c>
      <c r="B7" t="s">
        <v>44</v>
      </c>
      <c r="C7" t="s">
        <v>45</v>
      </c>
      <c r="D7" t="s">
        <v>46</v>
      </c>
      <c r="E7" t="s">
        <v>31</v>
      </c>
      <c r="F7" t="s">
        <v>47</v>
      </c>
    </row>
    <row r="8" spans="1:8" x14ac:dyDescent="0.2">
      <c r="A8" t="s">
        <v>48</v>
      </c>
      <c r="B8" t="s">
        <v>49</v>
      </c>
      <c r="C8" t="s">
        <v>50</v>
      </c>
      <c r="D8" t="s">
        <v>51</v>
      </c>
      <c r="E8" t="s">
        <v>31</v>
      </c>
      <c r="F8" t="s">
        <v>52</v>
      </c>
    </row>
    <row r="9" spans="1:8" x14ac:dyDescent="0.2">
      <c r="A9" t="s">
        <v>53</v>
      </c>
      <c r="B9" t="s">
        <v>54</v>
      </c>
      <c r="C9" t="s">
        <v>55</v>
      </c>
      <c r="D9" t="s">
        <v>56</v>
      </c>
      <c r="E9" t="s">
        <v>31</v>
      </c>
      <c r="F9" t="s">
        <v>57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137" workbookViewId="0">
      <pane ySplit="1" topLeftCell="A2" activePane="bottomLeft" state="frozen"/>
      <selection pane="bottomLeft" activeCell="C1" sqref="C1"/>
    </sheetView>
  </sheetViews>
  <sheetFormatPr baseColWidth="10" defaultColWidth="8.83203125" defaultRowHeight="15" x14ac:dyDescent="0.2"/>
  <cols>
    <col min="1" max="1" width="8" customWidth="1"/>
    <col min="2" max="2" width="20" customWidth="1"/>
    <col min="3" max="3" width="25" customWidth="1"/>
    <col min="4" max="4" width="60" customWidth="1"/>
    <col min="5" max="5" width="15" customWidth="1"/>
    <col min="6" max="6" width="12" customWidth="1"/>
    <col min="7" max="7" width="30" customWidth="1"/>
  </cols>
  <sheetData>
    <row r="1" spans="1:7" x14ac:dyDescent="0.2">
      <c r="A1" t="s">
        <v>8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15</v>
      </c>
    </row>
    <row r="2" spans="1:7" x14ac:dyDescent="0.2">
      <c r="A2" t="s">
        <v>16</v>
      </c>
      <c r="B2" t="s">
        <v>19</v>
      </c>
      <c r="C2" t="s">
        <v>63</v>
      </c>
      <c r="D2" t="s">
        <v>64</v>
      </c>
      <c r="E2" t="s">
        <v>65</v>
      </c>
      <c r="F2" s="2">
        <v>1</v>
      </c>
    </row>
    <row r="3" spans="1:7" x14ac:dyDescent="0.2">
      <c r="A3" t="s">
        <v>16</v>
      </c>
      <c r="B3" t="s">
        <v>19</v>
      </c>
      <c r="C3" t="s">
        <v>66</v>
      </c>
      <c r="D3" t="s">
        <v>64</v>
      </c>
      <c r="E3" t="s">
        <v>65</v>
      </c>
      <c r="F3" s="2">
        <v>0.5</v>
      </c>
    </row>
    <row r="4" spans="1:7" x14ac:dyDescent="0.2">
      <c r="A4" t="s">
        <v>16</v>
      </c>
      <c r="B4" t="s">
        <v>19</v>
      </c>
      <c r="C4" t="s">
        <v>67</v>
      </c>
      <c r="D4" t="s">
        <v>64</v>
      </c>
      <c r="E4" t="s">
        <v>65</v>
      </c>
      <c r="F4" s="2">
        <v>0.25</v>
      </c>
    </row>
    <row r="5" spans="1:7" x14ac:dyDescent="0.2">
      <c r="A5" t="s">
        <v>16</v>
      </c>
      <c r="B5" t="s">
        <v>19</v>
      </c>
      <c r="C5" t="s">
        <v>68</v>
      </c>
      <c r="D5" t="s">
        <v>64</v>
      </c>
      <c r="E5" t="s">
        <v>65</v>
      </c>
      <c r="F5" s="2">
        <v>0</v>
      </c>
    </row>
    <row r="6" spans="1:7" x14ac:dyDescent="0.2">
      <c r="A6" t="s">
        <v>16</v>
      </c>
      <c r="B6" t="s">
        <v>19</v>
      </c>
      <c r="C6" t="s">
        <v>69</v>
      </c>
      <c r="D6" t="s">
        <v>64</v>
      </c>
      <c r="E6" t="s">
        <v>65</v>
      </c>
      <c r="F6" s="2">
        <v>0</v>
      </c>
    </row>
    <row r="7" spans="1:7" x14ac:dyDescent="0.2">
      <c r="A7" s="7" t="s">
        <v>21</v>
      </c>
      <c r="B7" s="7" t="s">
        <v>70</v>
      </c>
      <c r="C7" s="7" t="s">
        <v>71</v>
      </c>
      <c r="D7" s="7" t="s">
        <v>72</v>
      </c>
      <c r="E7" s="7" t="s">
        <v>65</v>
      </c>
      <c r="F7" s="8">
        <v>0</v>
      </c>
      <c r="G7" s="7"/>
    </row>
    <row r="8" spans="1:7" x14ac:dyDescent="0.2">
      <c r="A8" t="s">
        <v>21</v>
      </c>
      <c r="B8" t="s">
        <v>70</v>
      </c>
      <c r="C8" t="s">
        <v>73</v>
      </c>
      <c r="D8" t="s">
        <v>72</v>
      </c>
      <c r="E8" t="s">
        <v>65</v>
      </c>
      <c r="F8" s="2">
        <v>0</v>
      </c>
    </row>
    <row r="9" spans="1:7" x14ac:dyDescent="0.2">
      <c r="A9" t="s">
        <v>21</v>
      </c>
      <c r="B9" t="s">
        <v>70</v>
      </c>
      <c r="C9" t="s">
        <v>74</v>
      </c>
      <c r="D9" t="s">
        <v>72</v>
      </c>
      <c r="E9" t="s">
        <v>65</v>
      </c>
      <c r="F9" s="2">
        <v>0</v>
      </c>
    </row>
    <row r="10" spans="1:7" x14ac:dyDescent="0.2">
      <c r="A10" s="7" t="s">
        <v>27</v>
      </c>
      <c r="B10" s="7" t="s">
        <v>30</v>
      </c>
      <c r="C10" s="7" t="s">
        <v>75</v>
      </c>
      <c r="D10" s="7" t="s">
        <v>76</v>
      </c>
      <c r="E10" s="7" t="s">
        <v>65</v>
      </c>
      <c r="F10" s="8">
        <v>0</v>
      </c>
      <c r="G10" s="7"/>
    </row>
    <row r="11" spans="1:7" x14ac:dyDescent="0.2">
      <c r="A11" t="s">
        <v>27</v>
      </c>
      <c r="B11" t="s">
        <v>30</v>
      </c>
      <c r="C11" t="s">
        <v>77</v>
      </c>
      <c r="D11" t="s">
        <v>76</v>
      </c>
      <c r="E11" t="s">
        <v>65</v>
      </c>
      <c r="F11" s="2">
        <v>0</v>
      </c>
    </row>
    <row r="12" spans="1:7" x14ac:dyDescent="0.2">
      <c r="A12" s="7" t="s">
        <v>33</v>
      </c>
      <c r="B12" s="7" t="s">
        <v>36</v>
      </c>
      <c r="C12" s="7" t="s">
        <v>78</v>
      </c>
      <c r="D12" s="7" t="s">
        <v>79</v>
      </c>
      <c r="E12" s="7" t="s">
        <v>65</v>
      </c>
      <c r="F12" s="8">
        <v>0</v>
      </c>
      <c r="G12" s="7"/>
    </row>
    <row r="13" spans="1:7" x14ac:dyDescent="0.2">
      <c r="A13" t="s">
        <v>33</v>
      </c>
      <c r="B13" t="s">
        <v>36</v>
      </c>
      <c r="C13" t="s">
        <v>80</v>
      </c>
      <c r="D13" t="s">
        <v>79</v>
      </c>
      <c r="E13" t="s">
        <v>65</v>
      </c>
      <c r="F13" s="2">
        <v>0</v>
      </c>
    </row>
    <row r="14" spans="1:7" x14ac:dyDescent="0.2">
      <c r="A14" t="s">
        <v>33</v>
      </c>
      <c r="B14" t="s">
        <v>36</v>
      </c>
      <c r="C14" t="s">
        <v>81</v>
      </c>
      <c r="D14" t="s">
        <v>79</v>
      </c>
      <c r="E14" t="s">
        <v>65</v>
      </c>
      <c r="F14" s="2">
        <v>0</v>
      </c>
    </row>
    <row r="15" spans="1:7" x14ac:dyDescent="0.2">
      <c r="A15" s="7" t="s">
        <v>38</v>
      </c>
      <c r="B15" s="7" t="s">
        <v>41</v>
      </c>
      <c r="C15" s="7" t="s">
        <v>82</v>
      </c>
      <c r="D15" s="7" t="s">
        <v>83</v>
      </c>
      <c r="E15" s="7" t="s">
        <v>65</v>
      </c>
      <c r="F15" s="8">
        <v>0</v>
      </c>
      <c r="G15" s="7"/>
    </row>
    <row r="16" spans="1:7" x14ac:dyDescent="0.2">
      <c r="A16" t="s">
        <v>38</v>
      </c>
      <c r="B16" t="s">
        <v>41</v>
      </c>
      <c r="C16" t="s">
        <v>84</v>
      </c>
      <c r="D16" t="s">
        <v>83</v>
      </c>
      <c r="E16" t="s">
        <v>65</v>
      </c>
      <c r="F16" s="2">
        <v>0</v>
      </c>
    </row>
    <row r="17" spans="1:7" x14ac:dyDescent="0.2">
      <c r="A17" t="s">
        <v>38</v>
      </c>
      <c r="B17" t="s">
        <v>41</v>
      </c>
      <c r="C17" t="s">
        <v>85</v>
      </c>
      <c r="D17" t="s">
        <v>83</v>
      </c>
      <c r="E17" t="s">
        <v>65</v>
      </c>
      <c r="F17" s="2">
        <v>0</v>
      </c>
    </row>
    <row r="18" spans="1:7" x14ac:dyDescent="0.2">
      <c r="A18" s="7" t="s">
        <v>43</v>
      </c>
      <c r="B18" s="7" t="s">
        <v>46</v>
      </c>
      <c r="C18" s="7" t="s">
        <v>86</v>
      </c>
      <c r="D18" s="7" t="s">
        <v>87</v>
      </c>
      <c r="E18" s="7" t="s">
        <v>65</v>
      </c>
      <c r="F18" s="8">
        <v>0</v>
      </c>
      <c r="G18" s="7"/>
    </row>
    <row r="19" spans="1:7" x14ac:dyDescent="0.2">
      <c r="A19" t="s">
        <v>43</v>
      </c>
      <c r="B19" t="s">
        <v>46</v>
      </c>
      <c r="C19" t="s">
        <v>88</v>
      </c>
      <c r="D19" t="s">
        <v>87</v>
      </c>
      <c r="E19" t="s">
        <v>65</v>
      </c>
      <c r="F19" s="2">
        <v>0</v>
      </c>
    </row>
    <row r="20" spans="1:7" x14ac:dyDescent="0.2">
      <c r="A20" t="s">
        <v>43</v>
      </c>
      <c r="B20" t="s">
        <v>46</v>
      </c>
      <c r="C20" t="s">
        <v>89</v>
      </c>
      <c r="D20" t="s">
        <v>87</v>
      </c>
      <c r="E20" t="s">
        <v>65</v>
      </c>
      <c r="F20" s="2">
        <v>0</v>
      </c>
    </row>
    <row r="21" spans="1:7" x14ac:dyDescent="0.2">
      <c r="A21" s="7" t="s">
        <v>48</v>
      </c>
      <c r="B21" s="7" t="s">
        <v>51</v>
      </c>
      <c r="C21" s="7" t="s">
        <v>90</v>
      </c>
      <c r="D21" s="7" t="s">
        <v>91</v>
      </c>
      <c r="E21" s="7" t="s">
        <v>65</v>
      </c>
      <c r="F21" s="8">
        <v>0</v>
      </c>
      <c r="G21" s="7"/>
    </row>
    <row r="22" spans="1:7" x14ac:dyDescent="0.2">
      <c r="A22" t="s">
        <v>48</v>
      </c>
      <c r="B22" t="s">
        <v>51</v>
      </c>
      <c r="C22" t="s">
        <v>92</v>
      </c>
      <c r="D22" t="s">
        <v>91</v>
      </c>
      <c r="E22" t="s">
        <v>65</v>
      </c>
      <c r="F22" s="2">
        <v>0</v>
      </c>
    </row>
    <row r="23" spans="1:7" x14ac:dyDescent="0.2">
      <c r="A23" t="s">
        <v>48</v>
      </c>
      <c r="B23" t="s">
        <v>51</v>
      </c>
      <c r="C23" t="s">
        <v>93</v>
      </c>
      <c r="D23" t="s">
        <v>91</v>
      </c>
      <c r="E23" t="s">
        <v>65</v>
      </c>
      <c r="F23" s="2">
        <v>0</v>
      </c>
    </row>
    <row r="24" spans="1:7" x14ac:dyDescent="0.2">
      <c r="A24" s="7" t="s">
        <v>53</v>
      </c>
      <c r="B24" s="7" t="s">
        <v>56</v>
      </c>
      <c r="C24" s="7" t="s">
        <v>94</v>
      </c>
      <c r="D24" s="7" t="s">
        <v>95</v>
      </c>
      <c r="E24" s="7" t="s">
        <v>65</v>
      </c>
      <c r="F24" s="8">
        <v>0</v>
      </c>
      <c r="G24" s="7"/>
    </row>
    <row r="25" spans="1:7" x14ac:dyDescent="0.2">
      <c r="A25" t="s">
        <v>53</v>
      </c>
      <c r="B25" t="s">
        <v>56</v>
      </c>
      <c r="C25" t="s">
        <v>96</v>
      </c>
      <c r="D25" t="s">
        <v>95</v>
      </c>
      <c r="E25" t="s">
        <v>65</v>
      </c>
      <c r="F25" s="2">
        <v>0</v>
      </c>
    </row>
    <row r="26" spans="1:7" x14ac:dyDescent="0.2">
      <c r="A26" t="s">
        <v>53</v>
      </c>
      <c r="B26" t="s">
        <v>56</v>
      </c>
      <c r="C26" t="s">
        <v>97</v>
      </c>
      <c r="D26" t="s">
        <v>95</v>
      </c>
      <c r="E26" t="s">
        <v>65</v>
      </c>
      <c r="F26" s="2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zoomScale="125"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5" x14ac:dyDescent="0.2"/>
  <cols>
    <col min="1" max="1" width="40" customWidth="1"/>
    <col min="2" max="3" width="12" customWidth="1"/>
    <col min="4" max="4" width="10" customWidth="1"/>
    <col min="5" max="5" width="60" customWidth="1"/>
    <col min="6" max="6" width="15" customWidth="1"/>
    <col min="7" max="7" width="12" customWidth="1"/>
  </cols>
  <sheetData>
    <row r="1" spans="1:7" x14ac:dyDescent="0.2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61</v>
      </c>
      <c r="G1" t="s">
        <v>12</v>
      </c>
    </row>
    <row r="2" spans="1:7" x14ac:dyDescent="0.2">
      <c r="A2" t="s">
        <v>103</v>
      </c>
      <c r="B2">
        <v>4</v>
      </c>
      <c r="C2">
        <v>5</v>
      </c>
      <c r="D2">
        <f>B2*C2</f>
        <v>20</v>
      </c>
      <c r="E2" t="s">
        <v>104</v>
      </c>
      <c r="F2" t="s">
        <v>65</v>
      </c>
      <c r="G2" t="s">
        <v>105</v>
      </c>
    </row>
    <row r="3" spans="1:7" x14ac:dyDescent="0.2">
      <c r="A3" t="s">
        <v>106</v>
      </c>
      <c r="B3">
        <v>3</v>
      </c>
      <c r="C3">
        <v>4</v>
      </c>
      <c r="D3">
        <f>B3*C3</f>
        <v>12</v>
      </c>
      <c r="E3" t="s">
        <v>107</v>
      </c>
      <c r="F3" t="s">
        <v>65</v>
      </c>
      <c r="G3" t="s">
        <v>105</v>
      </c>
    </row>
    <row r="4" spans="1:7" x14ac:dyDescent="0.2">
      <c r="A4" t="s">
        <v>108</v>
      </c>
      <c r="B4">
        <v>3</v>
      </c>
      <c r="C4">
        <v>4</v>
      </c>
      <c r="D4">
        <f>B4*C4</f>
        <v>12</v>
      </c>
      <c r="E4" t="s">
        <v>109</v>
      </c>
      <c r="F4" t="s">
        <v>65</v>
      </c>
      <c r="G4" t="s">
        <v>105</v>
      </c>
    </row>
    <row r="5" spans="1:7" x14ac:dyDescent="0.2">
      <c r="A5" t="s">
        <v>110</v>
      </c>
      <c r="B5">
        <v>2</v>
      </c>
      <c r="C5">
        <v>3</v>
      </c>
      <c r="D5">
        <f>B5*C5</f>
        <v>6</v>
      </c>
      <c r="E5" t="s">
        <v>111</v>
      </c>
      <c r="F5" t="s">
        <v>65</v>
      </c>
      <c r="G5" t="s">
        <v>105</v>
      </c>
    </row>
    <row r="6" spans="1:7" x14ac:dyDescent="0.2">
      <c r="A6" t="s">
        <v>112</v>
      </c>
      <c r="B6">
        <v>2</v>
      </c>
      <c r="C6">
        <v>2</v>
      </c>
      <c r="D6">
        <f>B6*C6</f>
        <v>4</v>
      </c>
      <c r="E6" t="s">
        <v>113</v>
      </c>
      <c r="F6" t="s">
        <v>65</v>
      </c>
      <c r="G6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zoomScale="169" workbookViewId="0">
      <selection activeCell="F2" sqref="F2"/>
    </sheetView>
  </sheetViews>
  <sheetFormatPr baseColWidth="10" defaultColWidth="8.83203125" defaultRowHeight="15" x14ac:dyDescent="0.2"/>
  <cols>
    <col min="1" max="1" width="35" customWidth="1"/>
    <col min="2" max="4" width="12" customWidth="1"/>
    <col min="5" max="5" width="40" customWidth="1"/>
  </cols>
  <sheetData>
    <row r="1" spans="1:5" x14ac:dyDescent="0.2">
      <c r="A1" t="s">
        <v>1</v>
      </c>
      <c r="B1" t="s">
        <v>114</v>
      </c>
      <c r="C1" t="s">
        <v>115</v>
      </c>
      <c r="D1" t="s">
        <v>116</v>
      </c>
      <c r="E1" t="s">
        <v>117</v>
      </c>
    </row>
    <row r="2" spans="1:5" x14ac:dyDescent="0.2">
      <c r="A2" t="s">
        <v>118</v>
      </c>
      <c r="B2" s="2">
        <v>0.9</v>
      </c>
      <c r="C2" s="2"/>
      <c r="D2" s="2">
        <f>C2-B2</f>
        <v>-0.9</v>
      </c>
      <c r="E2" t="s">
        <v>119</v>
      </c>
    </row>
    <row r="3" spans="1:5" x14ac:dyDescent="0.2">
      <c r="A3" t="s">
        <v>120</v>
      </c>
      <c r="B3" s="2">
        <v>0</v>
      </c>
      <c r="C3" s="2"/>
      <c r="D3" s="2">
        <f>C3-B3</f>
        <v>0</v>
      </c>
      <c r="E3" t="s">
        <v>121</v>
      </c>
    </row>
    <row r="4" spans="1:5" x14ac:dyDescent="0.2">
      <c r="A4" t="s">
        <v>122</v>
      </c>
      <c r="B4" s="2">
        <v>10</v>
      </c>
      <c r="C4" s="2"/>
      <c r="D4" s="2">
        <f>C4-B4</f>
        <v>-10</v>
      </c>
      <c r="E4" t="s">
        <v>123</v>
      </c>
    </row>
    <row r="5" spans="1:5" x14ac:dyDescent="0.2">
      <c r="A5" t="s">
        <v>124</v>
      </c>
      <c r="B5" s="2">
        <v>-0.3</v>
      </c>
      <c r="C5" s="2"/>
      <c r="D5" s="2">
        <f>C5-B5</f>
        <v>0.3</v>
      </c>
      <c r="E5" t="s">
        <v>125</v>
      </c>
    </row>
    <row r="6" spans="1:5" x14ac:dyDescent="0.2">
      <c r="A6" t="s">
        <v>126</v>
      </c>
      <c r="B6" s="2">
        <v>0.95</v>
      </c>
      <c r="C6" s="2"/>
      <c r="D6" s="2">
        <f>C6-B6</f>
        <v>-0.95</v>
      </c>
      <c r="E6" t="s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zoomScale="15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0" customWidth="1"/>
    <col min="2" max="2" width="10" customWidth="1"/>
    <col min="3" max="3" width="12" customWidth="1"/>
    <col min="4" max="4" width="15" customWidth="1"/>
    <col min="5" max="5" width="10" customWidth="1"/>
    <col min="6" max="6" width="40" customWidth="1"/>
  </cols>
  <sheetData>
    <row r="1" spans="1:6" x14ac:dyDescent="0.2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117</v>
      </c>
    </row>
    <row r="2" spans="1:6" x14ac:dyDescent="0.2">
      <c r="A2" t="s">
        <v>133</v>
      </c>
      <c r="B2" t="s">
        <v>134</v>
      </c>
      <c r="C2">
        <v>1</v>
      </c>
      <c r="D2" t="s">
        <v>23</v>
      </c>
      <c r="E2" t="s">
        <v>135</v>
      </c>
      <c r="F2" t="s">
        <v>136</v>
      </c>
    </row>
    <row r="3" spans="1:6" x14ac:dyDescent="0.2">
      <c r="A3" t="s">
        <v>137</v>
      </c>
      <c r="B3" t="s">
        <v>134</v>
      </c>
      <c r="C3">
        <v>1</v>
      </c>
      <c r="D3" t="s">
        <v>23</v>
      </c>
      <c r="E3" t="s">
        <v>135</v>
      </c>
      <c r="F3" t="s">
        <v>138</v>
      </c>
    </row>
    <row r="4" spans="1:6" x14ac:dyDescent="0.2">
      <c r="A4" t="s">
        <v>139</v>
      </c>
      <c r="B4" t="s">
        <v>134</v>
      </c>
      <c r="C4">
        <v>2</v>
      </c>
      <c r="D4" t="s">
        <v>29</v>
      </c>
      <c r="E4" t="s">
        <v>135</v>
      </c>
      <c r="F4" t="s">
        <v>140</v>
      </c>
    </row>
    <row r="5" spans="1:6" x14ac:dyDescent="0.2">
      <c r="A5" t="s">
        <v>141</v>
      </c>
      <c r="B5" t="s">
        <v>142</v>
      </c>
      <c r="C5">
        <v>3</v>
      </c>
      <c r="D5" t="s">
        <v>35</v>
      </c>
      <c r="E5" t="s">
        <v>135</v>
      </c>
      <c r="F5" t="s">
        <v>143</v>
      </c>
    </row>
    <row r="6" spans="1:6" x14ac:dyDescent="0.2">
      <c r="A6" t="s">
        <v>144</v>
      </c>
      <c r="B6" t="s">
        <v>142</v>
      </c>
      <c r="C6">
        <v>3</v>
      </c>
      <c r="D6" t="s">
        <v>35</v>
      </c>
      <c r="E6" t="s">
        <v>135</v>
      </c>
      <c r="F6" t="s">
        <v>145</v>
      </c>
    </row>
    <row r="7" spans="1:6" x14ac:dyDescent="0.2">
      <c r="A7" t="s">
        <v>146</v>
      </c>
      <c r="B7" t="s">
        <v>142</v>
      </c>
      <c r="C7">
        <v>4</v>
      </c>
      <c r="D7" t="s">
        <v>40</v>
      </c>
      <c r="E7" t="s">
        <v>135</v>
      </c>
      <c r="F7" t="s">
        <v>147</v>
      </c>
    </row>
    <row r="8" spans="1:6" x14ac:dyDescent="0.2">
      <c r="A8" t="s">
        <v>148</v>
      </c>
      <c r="B8" t="s">
        <v>149</v>
      </c>
      <c r="C8">
        <v>5</v>
      </c>
      <c r="D8" t="s">
        <v>45</v>
      </c>
      <c r="E8" t="s">
        <v>135</v>
      </c>
      <c r="F8" t="s">
        <v>150</v>
      </c>
    </row>
    <row r="9" spans="1:6" x14ac:dyDescent="0.2">
      <c r="A9" t="s">
        <v>151</v>
      </c>
      <c r="B9" t="s">
        <v>149</v>
      </c>
      <c r="C9">
        <v>6</v>
      </c>
      <c r="D9" t="s">
        <v>50</v>
      </c>
      <c r="E9" t="s">
        <v>135</v>
      </c>
      <c r="F9" t="s">
        <v>152</v>
      </c>
    </row>
    <row r="10" spans="1:6" x14ac:dyDescent="0.2">
      <c r="A10" t="s">
        <v>153</v>
      </c>
      <c r="B10" t="s">
        <v>149</v>
      </c>
      <c r="C10">
        <v>7</v>
      </c>
      <c r="D10" t="s">
        <v>55</v>
      </c>
      <c r="E10" t="s">
        <v>135</v>
      </c>
      <c r="F10" t="s">
        <v>154</v>
      </c>
    </row>
    <row r="11" spans="1:6" x14ac:dyDescent="0.2">
      <c r="A11" t="s">
        <v>96</v>
      </c>
      <c r="B11" t="s">
        <v>149</v>
      </c>
      <c r="C11">
        <v>7</v>
      </c>
      <c r="D11" t="s">
        <v>55</v>
      </c>
      <c r="E11" t="s">
        <v>135</v>
      </c>
      <c r="F11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4" width="30" customWidth="1"/>
    <col min="5" max="5" width="40" customWidth="1"/>
    <col min="6" max="6" width="15" customWidth="1"/>
  </cols>
  <sheetData>
    <row r="1" spans="1:6" x14ac:dyDescent="0.2">
      <c r="A1" t="s">
        <v>156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tabSelected="1" zoomScale="150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5" x14ac:dyDescent="0.2"/>
  <cols>
    <col min="1" max="1" width="25" customWidth="1"/>
    <col min="2" max="3" width="40" customWidth="1"/>
    <col min="4" max="5" width="20" customWidth="1"/>
  </cols>
  <sheetData>
    <row r="1" spans="1:5" x14ac:dyDescent="0.2">
      <c r="A1" t="s">
        <v>162</v>
      </c>
      <c r="B1" t="s">
        <v>163</v>
      </c>
      <c r="C1" t="s">
        <v>164</v>
      </c>
      <c r="D1" t="s">
        <v>165</v>
      </c>
      <c r="E1" t="s">
        <v>166</v>
      </c>
    </row>
    <row r="2" spans="1:5" x14ac:dyDescent="0.2">
      <c r="A2" t="s">
        <v>167</v>
      </c>
      <c r="B2" t="s">
        <v>168</v>
      </c>
      <c r="C2" t="s">
        <v>169</v>
      </c>
    </row>
    <row r="3" spans="1:5" x14ac:dyDescent="0.2">
      <c r="A3" t="s">
        <v>170</v>
      </c>
      <c r="B3" t="s">
        <v>171</v>
      </c>
      <c r="C3" t="s">
        <v>172</v>
      </c>
    </row>
    <row r="4" spans="1:5" x14ac:dyDescent="0.2">
      <c r="A4" t="s">
        <v>173</v>
      </c>
      <c r="B4" t="s">
        <v>174</v>
      </c>
      <c r="C4" t="s">
        <v>175</v>
      </c>
    </row>
    <row r="5" spans="1:5" x14ac:dyDescent="0.2">
      <c r="A5" t="s">
        <v>176</v>
      </c>
      <c r="B5" t="s">
        <v>177</v>
      </c>
      <c r="C5" t="s">
        <v>178</v>
      </c>
    </row>
    <row r="6" spans="1:5" x14ac:dyDescent="0.2">
      <c r="A6" t="s">
        <v>179</v>
      </c>
      <c r="B6" t="s">
        <v>180</v>
      </c>
      <c r="C6" t="s">
        <v>181</v>
      </c>
    </row>
    <row r="7" spans="1:5" x14ac:dyDescent="0.2">
      <c r="A7" t="s">
        <v>182</v>
      </c>
      <c r="B7" t="s">
        <v>183</v>
      </c>
      <c r="C7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Timeline &amp; Milestones</vt:lpstr>
      <vt:lpstr>Deliverables</vt:lpstr>
      <vt:lpstr>Risk Register</vt:lpstr>
      <vt:lpstr>Quality &amp; Performance</vt:lpstr>
      <vt:lpstr>Backlog &amp; Next Up</vt:lpstr>
      <vt:lpstr>Retro &amp; Decisions</vt:lpstr>
      <vt:lpstr>Requirements -&gt;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Sepulveda de Dietrich</cp:lastModifiedBy>
  <dcterms:created xsi:type="dcterms:W3CDTF">2025-10-21T22:25:18Z</dcterms:created>
  <dcterms:modified xsi:type="dcterms:W3CDTF">2025-10-27T14:44:15Z</dcterms:modified>
</cp:coreProperties>
</file>